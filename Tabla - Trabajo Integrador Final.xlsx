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czabala\Desktop\varios\E\CURSO UTN\CURSO EXCEL AVANZADO\"/>
    </mc:Choice>
  </mc:AlternateContent>
  <xr:revisionPtr revIDLastSave="0" documentId="13_ncr:1_{C8707CBD-8F93-48A1-9191-D68F90E97A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H23" i="1" s="1"/>
  <c r="I23" i="1" s="1"/>
  <c r="G22" i="1"/>
  <c r="H22" i="1" s="1"/>
  <c r="I22" i="1" s="1"/>
  <c r="G21" i="1"/>
  <c r="H21" i="1" s="1"/>
  <c r="I21" i="1" s="1"/>
  <c r="G20" i="1"/>
  <c r="H20" i="1" s="1"/>
  <c r="I20" i="1" s="1"/>
  <c r="G19" i="1"/>
  <c r="H19" i="1" s="1"/>
  <c r="I19" i="1" s="1"/>
  <c r="G18" i="1"/>
  <c r="H18" i="1" s="1"/>
  <c r="I18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2" i="1"/>
  <c r="H2" i="1" s="1"/>
  <c r="I2" i="1" s="1"/>
</calcChain>
</file>

<file path=xl/sharedStrings.xml><?xml version="1.0" encoding="utf-8"?>
<sst xmlns="http://schemas.openxmlformats.org/spreadsheetml/2006/main" count="78" uniqueCount="47">
  <si>
    <t>Cliente</t>
  </si>
  <si>
    <t>Producto</t>
  </si>
  <si>
    <t>Fecha Compra</t>
  </si>
  <si>
    <t>Nro. Cuotas</t>
  </si>
  <si>
    <t>Importe cuota</t>
  </si>
  <si>
    <t>IVA</t>
  </si>
  <si>
    <t>Total cuota</t>
  </si>
  <si>
    <t>TOTAL PAGAR</t>
  </si>
  <si>
    <t>Walter Pinoli</t>
  </si>
  <si>
    <t>electrodoméstico</t>
  </si>
  <si>
    <t xml:space="preserve">  electrodoméstico</t>
  </si>
  <si>
    <t>monitor</t>
  </si>
  <si>
    <t>María Solian</t>
  </si>
  <si>
    <t>Laura Esquivel</t>
  </si>
  <si>
    <t>Laura Soria</t>
  </si>
  <si>
    <t>televisor</t>
  </si>
  <si>
    <t>Juana Alvez</t>
  </si>
  <si>
    <t>celular</t>
  </si>
  <si>
    <t>Juana Alvarez</t>
  </si>
  <si>
    <t>zapatilla</t>
  </si>
  <si>
    <t>Juan Aguiar</t>
  </si>
  <si>
    <t>José Rosas</t>
  </si>
  <si>
    <t>Cecilia Nans</t>
  </si>
  <si>
    <t>notebook</t>
  </si>
  <si>
    <t>Martin Long</t>
  </si>
  <si>
    <t>Juana Aguilar</t>
  </si>
  <si>
    <t>José Ronco</t>
  </si>
  <si>
    <t>José Pons</t>
  </si>
  <si>
    <t>Cecilia Pane</t>
  </si>
  <si>
    <t>Camila Nans</t>
  </si>
  <si>
    <t>25/6/20223</t>
  </si>
  <si>
    <t>25/6/20224</t>
  </si>
  <si>
    <t>Origen del producto</t>
  </si>
  <si>
    <t>Argentina</t>
  </si>
  <si>
    <t>China</t>
  </si>
  <si>
    <t>Brasil</t>
  </si>
  <si>
    <t>Chile</t>
  </si>
  <si>
    <t>Estados Unidos</t>
  </si>
  <si>
    <t>chile</t>
  </si>
  <si>
    <t>china</t>
  </si>
  <si>
    <t>José Rolón</t>
  </si>
  <si>
    <t>Cecilia Pérez</t>
  </si>
  <si>
    <t>Juan López</t>
  </si>
  <si>
    <t>Peter Luis Sons</t>
  </si>
  <si>
    <t>Mario Brain Kol</t>
  </si>
  <si>
    <t>Mario Luis Contra</t>
  </si>
  <si>
    <t>María Paz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</si>
</sst>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</numFmts>
  <fonts count="5" x14ac:knownFonts="1">
    <font>
      <sz val="10"/>
      <color rgb="FF000000"/>
      <name val="Arial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right" wrapText="1"/>
    </xf>
    <xf numFmtId="44" fontId="2" fillId="0" borderId="5" xfId="1" applyFont="1" applyBorder="1" applyAlignment="1">
      <alignment horizontal="right" wrapText="1"/>
    </xf>
    <xf numFmtId="44" fontId="2" fillId="0" borderId="5" xfId="0" applyNumberFormat="1" applyFont="1" applyBorder="1" applyAlignment="1">
      <alignment horizontal="right" wrapText="1"/>
    </xf>
    <xf numFmtId="44" fontId="2" fillId="0" borderId="6" xfId="0" applyNumberFormat="1" applyFont="1" applyBorder="1" applyAlignment="1">
      <alignment horizontal="right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6" fontId="2" fillId="0" borderId="7" xfId="0" applyNumberFormat="1" applyFont="1" applyBorder="1" applyAlignment="1">
      <alignment horizontal="right" vertical="center" wrapText="1"/>
    </xf>
    <xf numFmtId="8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left" wrapText="1"/>
    </xf>
    <xf numFmtId="0" fontId="2" fillId="0" borderId="7" xfId="0" applyFont="1" applyBorder="1" applyAlignment="1">
      <alignment horizontal="right" wrapText="1"/>
    </xf>
    <xf numFmtId="0" fontId="2" fillId="0" borderId="7" xfId="0" applyFont="1" applyBorder="1" applyAlignment="1">
      <alignment horizontal="center" wrapText="1"/>
    </xf>
    <xf numFmtId="14" fontId="2" fillId="0" borderId="7" xfId="0" applyNumberFormat="1" applyFont="1" applyBorder="1" applyAlignment="1">
      <alignment horizontal="right" wrapText="1"/>
    </xf>
    <xf numFmtId="44" fontId="2" fillId="0" borderId="7" xfId="1" applyFont="1" applyBorder="1" applyAlignment="1">
      <alignment horizontal="right" wrapText="1"/>
    </xf>
    <xf numFmtId="44" fontId="2" fillId="0" borderId="7" xfId="0" applyNumberFormat="1" applyFont="1" applyBorder="1" applyAlignment="1">
      <alignment horizontal="righ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"/>
  <sheetViews>
    <sheetView tabSelected="1" workbookViewId="0">
      <pane ySplit="1" topLeftCell="A3" activePane="bottomLeft" state="frozen"/>
      <selection pane="bottomLeft" activeCell="B8" sqref="B8"/>
    </sheetView>
  </sheetViews>
  <sheetFormatPr baseColWidth="10" defaultColWidth="12.5703125" defaultRowHeight="15.75" customHeight="1" x14ac:dyDescent="0.2"/>
  <cols>
    <col min="1" max="1" width="17.140625" customWidth="1"/>
    <col min="2" max="2" width="17.5703125" bestFit="1" customWidth="1"/>
    <col min="3" max="3" width="24.28515625" customWidth="1"/>
  </cols>
  <sheetData>
    <row r="1" spans="1:9" ht="15.75" customHeight="1" x14ac:dyDescent="0.3">
      <c r="A1" s="1" t="s">
        <v>0</v>
      </c>
      <c r="B1" s="2" t="s">
        <v>1</v>
      </c>
      <c r="C1" s="2" t="s">
        <v>32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ht="15.75" customHeight="1" thickBot="1" x14ac:dyDescent="0.3">
      <c r="A2" s="4" t="s">
        <v>8</v>
      </c>
      <c r="B2" s="5" t="s">
        <v>23</v>
      </c>
      <c r="C2" s="6" t="s">
        <v>33</v>
      </c>
      <c r="D2" s="7">
        <v>44565</v>
      </c>
      <c r="E2" s="5">
        <v>6</v>
      </c>
      <c r="F2" s="8">
        <v>100000</v>
      </c>
      <c r="G2" s="8">
        <f>F2*21%</f>
        <v>21000</v>
      </c>
      <c r="H2" s="9">
        <f>F2+G2</f>
        <v>121000</v>
      </c>
      <c r="I2" s="10">
        <f>H2*E2</f>
        <v>726000</v>
      </c>
    </row>
    <row r="3" spans="1:9" ht="15.75" customHeight="1" thickTop="1" thickBot="1" x14ac:dyDescent="0.25">
      <c r="A3" s="11" t="s">
        <v>43</v>
      </c>
      <c r="B3" s="12" t="s">
        <v>10</v>
      </c>
      <c r="C3" s="12" t="s">
        <v>34</v>
      </c>
      <c r="D3" s="13">
        <v>44565</v>
      </c>
      <c r="E3" s="14">
        <v>5</v>
      </c>
      <c r="F3" s="15">
        <v>30000</v>
      </c>
      <c r="G3" s="16">
        <v>6300</v>
      </c>
      <c r="H3" s="16">
        <v>36300</v>
      </c>
      <c r="I3" s="16">
        <v>181500</v>
      </c>
    </row>
    <row r="4" spans="1:9" ht="15.75" customHeight="1" thickTop="1" thickBot="1" x14ac:dyDescent="0.25">
      <c r="A4" s="11" t="s">
        <v>44</v>
      </c>
      <c r="B4" s="14" t="s">
        <v>11</v>
      </c>
      <c r="C4" s="12" t="s">
        <v>35</v>
      </c>
      <c r="D4" s="13">
        <v>44481</v>
      </c>
      <c r="E4" s="14">
        <v>5</v>
      </c>
      <c r="F4" s="16">
        <v>28000</v>
      </c>
      <c r="G4" s="16">
        <v>5880</v>
      </c>
      <c r="H4" s="16">
        <v>33880</v>
      </c>
      <c r="I4" s="16">
        <v>169400</v>
      </c>
    </row>
    <row r="5" spans="1:9" ht="15.75" customHeight="1" thickTop="1" thickBot="1" x14ac:dyDescent="0.25">
      <c r="A5" s="11" t="s">
        <v>45</v>
      </c>
      <c r="B5" s="14" t="s">
        <v>11</v>
      </c>
      <c r="C5" s="12" t="s">
        <v>35</v>
      </c>
      <c r="D5" s="13">
        <v>44481</v>
      </c>
      <c r="E5" s="14">
        <v>5</v>
      </c>
      <c r="F5" s="16">
        <v>28000</v>
      </c>
      <c r="G5" s="16">
        <v>5880</v>
      </c>
      <c r="H5" s="16">
        <v>33880</v>
      </c>
      <c r="I5" s="16">
        <v>169400</v>
      </c>
    </row>
    <row r="6" spans="1:9" ht="15.75" customHeight="1" thickTop="1" thickBot="1" x14ac:dyDescent="0.25">
      <c r="A6" s="11" t="s">
        <v>46</v>
      </c>
      <c r="B6" s="14" t="s">
        <v>11</v>
      </c>
      <c r="C6" s="12" t="s">
        <v>33</v>
      </c>
      <c r="D6" s="13">
        <v>44469</v>
      </c>
      <c r="E6" s="14">
        <v>3</v>
      </c>
      <c r="F6" s="16">
        <v>28000</v>
      </c>
      <c r="G6" s="16">
        <v>5880</v>
      </c>
      <c r="H6" s="16">
        <v>33880</v>
      </c>
      <c r="I6" s="16">
        <v>101640</v>
      </c>
    </row>
    <row r="7" spans="1:9" ht="15.75" customHeight="1" thickTop="1" thickBot="1" x14ac:dyDescent="0.3">
      <c r="A7" s="17" t="s">
        <v>12</v>
      </c>
      <c r="B7" s="18" t="s">
        <v>9</v>
      </c>
      <c r="C7" s="19" t="s">
        <v>36</v>
      </c>
      <c r="D7" s="20">
        <v>44469</v>
      </c>
      <c r="E7" s="18">
        <v>3</v>
      </c>
      <c r="F7" s="21">
        <v>28000</v>
      </c>
      <c r="G7" s="21">
        <f t="shared" ref="G7:G23" si="0">F7*21%</f>
        <v>5880</v>
      </c>
      <c r="H7" s="22">
        <f t="shared" ref="H7:H17" si="1">F7+G7</f>
        <v>33880</v>
      </c>
      <c r="I7" s="22">
        <f t="shared" ref="I7:I17" si="2">H7*E7</f>
        <v>101640</v>
      </c>
    </row>
    <row r="8" spans="1:9" ht="15.75" customHeight="1" thickTop="1" thickBot="1" x14ac:dyDescent="0.3">
      <c r="A8" s="17" t="s">
        <v>13</v>
      </c>
      <c r="B8" s="18" t="s">
        <v>23</v>
      </c>
      <c r="C8" s="19" t="s">
        <v>36</v>
      </c>
      <c r="D8" s="20">
        <v>44563</v>
      </c>
      <c r="E8" s="18">
        <v>4</v>
      </c>
      <c r="F8" s="21">
        <v>120000</v>
      </c>
      <c r="G8" s="21">
        <f t="shared" si="0"/>
        <v>25200</v>
      </c>
      <c r="H8" s="22">
        <f t="shared" si="1"/>
        <v>145200</v>
      </c>
      <c r="I8" s="22">
        <f t="shared" si="2"/>
        <v>580800</v>
      </c>
    </row>
    <row r="9" spans="1:9" ht="15.75" customHeight="1" thickTop="1" thickBot="1" x14ac:dyDescent="0.3">
      <c r="A9" s="17" t="s">
        <v>14</v>
      </c>
      <c r="B9" s="18" t="s">
        <v>15</v>
      </c>
      <c r="C9" s="19" t="s">
        <v>33</v>
      </c>
      <c r="D9" s="20">
        <v>44563</v>
      </c>
      <c r="E9" s="18">
        <v>4</v>
      </c>
      <c r="F9" s="21">
        <v>39000</v>
      </c>
      <c r="G9" s="21">
        <f t="shared" si="0"/>
        <v>8190</v>
      </c>
      <c r="H9" s="22">
        <f t="shared" si="1"/>
        <v>47190</v>
      </c>
      <c r="I9" s="22">
        <f t="shared" si="2"/>
        <v>188760</v>
      </c>
    </row>
    <row r="10" spans="1:9" ht="15.75" customHeight="1" thickTop="1" thickBot="1" x14ac:dyDescent="0.3">
      <c r="A10" s="17" t="s">
        <v>16</v>
      </c>
      <c r="B10" s="18" t="s">
        <v>17</v>
      </c>
      <c r="C10" s="19" t="s">
        <v>35</v>
      </c>
      <c r="D10" s="20">
        <v>44564</v>
      </c>
      <c r="E10" s="18">
        <v>2</v>
      </c>
      <c r="F10" s="21">
        <v>45000</v>
      </c>
      <c r="G10" s="21">
        <f t="shared" si="0"/>
        <v>9450</v>
      </c>
      <c r="H10" s="22">
        <f t="shared" si="1"/>
        <v>54450</v>
      </c>
      <c r="I10" s="22">
        <f t="shared" si="2"/>
        <v>108900</v>
      </c>
    </row>
    <row r="11" spans="1:9" ht="15.75" customHeight="1" thickTop="1" thickBot="1" x14ac:dyDescent="0.3">
      <c r="A11" s="17" t="s">
        <v>18</v>
      </c>
      <c r="B11" s="18" t="s">
        <v>9</v>
      </c>
      <c r="C11" s="19" t="s">
        <v>34</v>
      </c>
      <c r="D11" s="20">
        <v>44564</v>
      </c>
      <c r="E11" s="18">
        <v>2</v>
      </c>
      <c r="F11" s="21">
        <v>55000</v>
      </c>
      <c r="G11" s="21">
        <f t="shared" si="0"/>
        <v>11550</v>
      </c>
      <c r="H11" s="22">
        <f t="shared" si="1"/>
        <v>66550</v>
      </c>
      <c r="I11" s="22">
        <f t="shared" si="2"/>
        <v>133100</v>
      </c>
    </row>
    <row r="12" spans="1:9" ht="15.75" customHeight="1" thickTop="1" thickBot="1" x14ac:dyDescent="0.3">
      <c r="A12" s="17" t="s">
        <v>42</v>
      </c>
      <c r="B12" s="18" t="s">
        <v>19</v>
      </c>
      <c r="C12" s="19" t="s">
        <v>37</v>
      </c>
      <c r="D12" s="20">
        <v>44372</v>
      </c>
      <c r="E12" s="18">
        <v>2</v>
      </c>
      <c r="F12" s="21">
        <v>49000</v>
      </c>
      <c r="G12" s="21">
        <f t="shared" si="0"/>
        <v>10290</v>
      </c>
      <c r="H12" s="22">
        <f t="shared" si="1"/>
        <v>59290</v>
      </c>
      <c r="I12" s="22">
        <f t="shared" si="2"/>
        <v>118580</v>
      </c>
    </row>
    <row r="13" spans="1:9" ht="15.75" customHeight="1" thickTop="1" thickBot="1" x14ac:dyDescent="0.3">
      <c r="A13" s="17" t="s">
        <v>20</v>
      </c>
      <c r="B13" s="18" t="s">
        <v>19</v>
      </c>
      <c r="C13" s="19" t="s">
        <v>37</v>
      </c>
      <c r="D13" s="20">
        <v>44372</v>
      </c>
      <c r="E13" s="18">
        <v>2</v>
      </c>
      <c r="F13" s="21">
        <v>49000</v>
      </c>
      <c r="G13" s="21">
        <f t="shared" si="0"/>
        <v>10290</v>
      </c>
      <c r="H13" s="22">
        <f t="shared" si="1"/>
        <v>59290</v>
      </c>
      <c r="I13" s="22">
        <f t="shared" si="2"/>
        <v>118580</v>
      </c>
    </row>
    <row r="14" spans="1:9" ht="15.75" customHeight="1" thickTop="1" thickBot="1" x14ac:dyDescent="0.3">
      <c r="A14" s="17" t="s">
        <v>21</v>
      </c>
      <c r="B14" s="18" t="s">
        <v>17</v>
      </c>
      <c r="C14" s="19" t="s">
        <v>33</v>
      </c>
      <c r="D14" s="20">
        <v>44479</v>
      </c>
      <c r="E14" s="18">
        <v>5</v>
      </c>
      <c r="F14" s="21">
        <v>45000</v>
      </c>
      <c r="G14" s="21">
        <f t="shared" si="0"/>
        <v>9450</v>
      </c>
      <c r="H14" s="22">
        <f t="shared" si="1"/>
        <v>54450</v>
      </c>
      <c r="I14" s="22">
        <f t="shared" si="2"/>
        <v>272250</v>
      </c>
    </row>
    <row r="15" spans="1:9" ht="15.75" customHeight="1" thickTop="1" thickBot="1" x14ac:dyDescent="0.3">
      <c r="A15" s="17" t="s">
        <v>40</v>
      </c>
      <c r="B15" s="18" t="s">
        <v>17</v>
      </c>
      <c r="C15" s="19" t="s">
        <v>39</v>
      </c>
      <c r="D15" s="20">
        <v>44479</v>
      </c>
      <c r="E15" s="18">
        <v>5</v>
      </c>
      <c r="F15" s="21">
        <v>55000</v>
      </c>
      <c r="G15" s="21">
        <f t="shared" si="0"/>
        <v>11550</v>
      </c>
      <c r="H15" s="22">
        <f t="shared" si="1"/>
        <v>66550</v>
      </c>
      <c r="I15" s="22">
        <f t="shared" si="2"/>
        <v>332750</v>
      </c>
    </row>
    <row r="16" spans="1:9" ht="15.75" customHeight="1" thickTop="1" thickBot="1" x14ac:dyDescent="0.3">
      <c r="A16" s="17" t="s">
        <v>41</v>
      </c>
      <c r="B16" s="18" t="s">
        <v>19</v>
      </c>
      <c r="C16" s="19" t="s">
        <v>33</v>
      </c>
      <c r="D16" s="20">
        <v>44515</v>
      </c>
      <c r="E16" s="18">
        <v>3</v>
      </c>
      <c r="F16" s="21">
        <v>40000</v>
      </c>
      <c r="G16" s="21">
        <f t="shared" si="0"/>
        <v>8400</v>
      </c>
      <c r="H16" s="22">
        <f t="shared" si="1"/>
        <v>48400</v>
      </c>
      <c r="I16" s="22">
        <f t="shared" si="2"/>
        <v>145200</v>
      </c>
    </row>
    <row r="17" spans="1:9" ht="15.75" customHeight="1" thickTop="1" thickBot="1" x14ac:dyDescent="0.3">
      <c r="A17" s="17" t="s">
        <v>22</v>
      </c>
      <c r="B17" s="18" t="s">
        <v>11</v>
      </c>
      <c r="C17" s="19" t="s">
        <v>35</v>
      </c>
      <c r="D17" s="20">
        <v>44515</v>
      </c>
      <c r="E17" s="18">
        <v>3</v>
      </c>
      <c r="F17" s="21">
        <v>38000</v>
      </c>
      <c r="G17" s="21">
        <f t="shared" si="0"/>
        <v>7980</v>
      </c>
      <c r="H17" s="22">
        <f t="shared" si="1"/>
        <v>45980</v>
      </c>
      <c r="I17" s="22">
        <f t="shared" si="2"/>
        <v>137940</v>
      </c>
    </row>
    <row r="18" spans="1:9" ht="15.75" customHeight="1" thickTop="1" thickBot="1" x14ac:dyDescent="0.3">
      <c r="A18" s="17" t="s">
        <v>24</v>
      </c>
      <c r="B18" s="18" t="s">
        <v>19</v>
      </c>
      <c r="C18" s="19" t="s">
        <v>38</v>
      </c>
      <c r="D18" s="20">
        <v>44372</v>
      </c>
      <c r="E18" s="18">
        <v>2</v>
      </c>
      <c r="F18" s="21">
        <v>49000</v>
      </c>
      <c r="G18" s="21">
        <f t="shared" si="0"/>
        <v>10290</v>
      </c>
      <c r="H18" s="22">
        <f t="shared" ref="H18:H23" si="3">F18+G18</f>
        <v>59290</v>
      </c>
      <c r="I18" s="22">
        <f t="shared" ref="I18:I23" si="4">H18*E18</f>
        <v>118580</v>
      </c>
    </row>
    <row r="19" spans="1:9" ht="15.75" customHeight="1" thickTop="1" thickBot="1" x14ac:dyDescent="0.3">
      <c r="A19" s="17" t="s">
        <v>25</v>
      </c>
      <c r="B19" s="18" t="s">
        <v>19</v>
      </c>
      <c r="C19" s="19" t="s">
        <v>38</v>
      </c>
      <c r="D19" s="20" t="s">
        <v>30</v>
      </c>
      <c r="E19" s="18">
        <v>2</v>
      </c>
      <c r="F19" s="21">
        <v>56000</v>
      </c>
      <c r="G19" s="21">
        <f t="shared" si="0"/>
        <v>11760</v>
      </c>
      <c r="H19" s="22">
        <f t="shared" si="3"/>
        <v>67760</v>
      </c>
      <c r="I19" s="22">
        <f t="shared" si="4"/>
        <v>135520</v>
      </c>
    </row>
    <row r="20" spans="1:9" ht="15.75" customHeight="1" thickTop="1" thickBot="1" x14ac:dyDescent="0.3">
      <c r="A20" s="17" t="s">
        <v>26</v>
      </c>
      <c r="B20" s="18" t="s">
        <v>17</v>
      </c>
      <c r="C20" s="19" t="s">
        <v>33</v>
      </c>
      <c r="D20" s="20" t="s">
        <v>31</v>
      </c>
      <c r="E20" s="18">
        <v>5</v>
      </c>
      <c r="F20" s="21">
        <v>65000</v>
      </c>
      <c r="G20" s="21">
        <f t="shared" si="0"/>
        <v>13650</v>
      </c>
      <c r="H20" s="22">
        <f t="shared" si="3"/>
        <v>78650</v>
      </c>
      <c r="I20" s="22">
        <f t="shared" si="4"/>
        <v>393250</v>
      </c>
    </row>
    <row r="21" spans="1:9" ht="15.75" customHeight="1" thickTop="1" thickBot="1" x14ac:dyDescent="0.3">
      <c r="A21" s="17" t="s">
        <v>27</v>
      </c>
      <c r="B21" s="18" t="s">
        <v>17</v>
      </c>
      <c r="C21" s="19" t="s">
        <v>35</v>
      </c>
      <c r="D21" s="20" t="s">
        <v>30</v>
      </c>
      <c r="E21" s="18">
        <v>5</v>
      </c>
      <c r="F21" s="21">
        <v>55000</v>
      </c>
      <c r="G21" s="21">
        <f t="shared" si="0"/>
        <v>11550</v>
      </c>
      <c r="H21" s="22">
        <f t="shared" si="3"/>
        <v>66550</v>
      </c>
      <c r="I21" s="22">
        <f t="shared" si="4"/>
        <v>332750</v>
      </c>
    </row>
    <row r="22" spans="1:9" ht="15.75" customHeight="1" thickTop="1" thickBot="1" x14ac:dyDescent="0.3">
      <c r="A22" s="17" t="s">
        <v>28</v>
      </c>
      <c r="B22" s="18" t="s">
        <v>19</v>
      </c>
      <c r="C22" s="19" t="s">
        <v>36</v>
      </c>
      <c r="D22" s="20">
        <v>45245</v>
      </c>
      <c r="E22" s="18">
        <v>3</v>
      </c>
      <c r="F22" s="21">
        <v>35000</v>
      </c>
      <c r="G22" s="21">
        <f t="shared" si="0"/>
        <v>7350</v>
      </c>
      <c r="H22" s="22">
        <f t="shared" si="3"/>
        <v>42350</v>
      </c>
      <c r="I22" s="22">
        <f t="shared" si="4"/>
        <v>127050</v>
      </c>
    </row>
    <row r="23" spans="1:9" ht="15.75" customHeight="1" thickTop="1" thickBot="1" x14ac:dyDescent="0.3">
      <c r="A23" s="17" t="s">
        <v>29</v>
      </c>
      <c r="B23" s="18" t="s">
        <v>23</v>
      </c>
      <c r="C23" s="19" t="s">
        <v>33</v>
      </c>
      <c r="D23" s="20">
        <v>44941</v>
      </c>
      <c r="E23" s="18">
        <v>3</v>
      </c>
      <c r="F23" s="21">
        <v>50000</v>
      </c>
      <c r="G23" s="21">
        <f t="shared" si="0"/>
        <v>10500</v>
      </c>
      <c r="H23" s="22">
        <f t="shared" si="3"/>
        <v>60500</v>
      </c>
      <c r="I23" s="22">
        <f t="shared" si="4"/>
        <v>181500</v>
      </c>
    </row>
    <row r="24" spans="1:9" ht="15.75" customHeight="1" thickTop="1" x14ac:dyDescent="0.2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Zabala Carolina | CMP</dc:creator>
  <cp:lastModifiedBy>Zabala Carolina | CMP</cp:lastModifiedBy>
  <dcterms:created xsi:type="dcterms:W3CDTF">2024-07-13T23:47:06Z</dcterms:created>
  <dcterms:modified xsi:type="dcterms:W3CDTF">2024-07-14T12:13:55Z</dcterms:modified>
</cp:coreProperties>
</file>